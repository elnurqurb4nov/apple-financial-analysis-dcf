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feyzu\Downloads\gy\apple_analysis\apple_analysis\data\"/>
    </mc:Choice>
  </mc:AlternateContent>
  <xr:revisionPtr revIDLastSave="0" documentId="13_ncr:1_{25E35F4D-344A-4B40-B7DA-2ADFD0549DA0}" xr6:coauthVersionLast="47" xr6:coauthVersionMax="47" xr10:uidLastSave="{00000000-0000-0000-0000-000000000000}"/>
  <bookViews>
    <workbookView xWindow="6075" yWindow="2265" windowWidth="21600" windowHeight="10725" firstSheet="2" activeTab="3" xr2:uid="{70C403DD-C76C-43A8-AA91-00DB32538ABB}"/>
  </bookViews>
  <sheets>
    <sheet name="Raw_Actuals" sheetId="1" r:id="rId1"/>
    <sheet name="Raw_Actuals_Long" sheetId="11" r:id="rId2"/>
    <sheet name="Historical_KPIs" sheetId="3" r:id="rId3"/>
    <sheet name="Historical_kpis_long" sheetId="12" r:id="rId4"/>
    <sheet name="Historical_Insights" sheetId="4" r:id="rId5"/>
    <sheet name="2026_Forecast" sheetId="5" r:id="rId6"/>
    <sheet name="Forecast_Summary" sheetId="10" r:id="rId7"/>
    <sheet name="Scenario_Analysis" sheetId="6"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 l="1"/>
  <c r="C20" i="1"/>
  <c r="D20" i="1"/>
  <c r="E20" i="1"/>
  <c r="F20" i="1"/>
  <c r="G20" i="1"/>
  <c r="H20" i="1"/>
  <c r="I20" i="1"/>
  <c r="C12" i="3"/>
  <c r="D12" i="3"/>
  <c r="E12" i="3"/>
  <c r="F12" i="3"/>
  <c r="G12" i="3"/>
  <c r="H12" i="3"/>
  <c r="I12" i="3"/>
  <c r="B12" i="3"/>
  <c r="B11" i="3"/>
  <c r="B4" i="3"/>
  <c r="B4" i="1"/>
  <c r="B3" i="3" s="1"/>
  <c r="C7" i="3"/>
  <c r="D7" i="3"/>
  <c r="E7" i="3"/>
  <c r="F7" i="3"/>
  <c r="G7" i="3"/>
  <c r="H7" i="3"/>
  <c r="I7" i="3"/>
  <c r="B7" i="3"/>
  <c r="C9" i="3"/>
  <c r="D9" i="3"/>
  <c r="E9" i="3"/>
  <c r="F9" i="3"/>
  <c r="G9" i="3"/>
  <c r="H9" i="3"/>
  <c r="I9" i="3"/>
  <c r="B9" i="3"/>
  <c r="D8" i="3"/>
  <c r="E8" i="3"/>
  <c r="F8" i="3"/>
  <c r="G8" i="3"/>
  <c r="H8" i="3"/>
  <c r="I8" i="3"/>
  <c r="C8" i="3"/>
  <c r="C4" i="1"/>
  <c r="C3" i="3" s="1"/>
  <c r="D4" i="1"/>
  <c r="D3" i="3" s="1"/>
  <c r="E4" i="1"/>
  <c r="F4" i="1"/>
  <c r="F3" i="3" s="1"/>
  <c r="G4" i="1"/>
  <c r="G3" i="3" s="1"/>
  <c r="H4" i="1"/>
  <c r="H3" i="3" s="1"/>
  <c r="I4" i="1"/>
  <c r="I3" i="3" s="1"/>
  <c r="D12" i="5"/>
  <c r="D9" i="5"/>
  <c r="D3" i="5"/>
  <c r="D2" i="5"/>
  <c r="D4" i="5" s="1"/>
  <c r="D8" i="5" s="1"/>
  <c r="D10" i="5" s="1"/>
  <c r="D11" i="5" s="1"/>
  <c r="B18" i="3"/>
  <c r="B19" i="3"/>
  <c r="C11" i="3"/>
  <c r="D11" i="3"/>
  <c r="E11" i="3"/>
  <c r="F11" i="3"/>
  <c r="G11" i="3"/>
  <c r="H11" i="3"/>
  <c r="I11" i="3"/>
  <c r="B10" i="3"/>
  <c r="C10" i="3"/>
  <c r="D10" i="3"/>
  <c r="E10" i="3"/>
  <c r="F10" i="3"/>
  <c r="G10" i="3"/>
  <c r="H10" i="3"/>
  <c r="I10" i="3"/>
  <c r="C5" i="3"/>
  <c r="D5" i="3"/>
  <c r="E5" i="3"/>
  <c r="F5" i="3"/>
  <c r="G5" i="3"/>
  <c r="H5" i="3"/>
  <c r="I5" i="3"/>
  <c r="B5" i="3"/>
  <c r="C4" i="3"/>
  <c r="D4" i="3"/>
  <c r="E4" i="3"/>
  <c r="F4" i="3"/>
  <c r="G4" i="3"/>
  <c r="H4" i="3"/>
  <c r="I4" i="3"/>
  <c r="C2" i="3"/>
  <c r="D2" i="3"/>
  <c r="E2" i="3"/>
  <c r="F2" i="3"/>
  <c r="G2" i="3"/>
  <c r="H2" i="3"/>
  <c r="I2" i="3"/>
  <c r="D10" i="1"/>
  <c r="D6" i="3" s="1"/>
  <c r="E10" i="1"/>
  <c r="E21" i="1" s="1"/>
  <c r="F10" i="1"/>
  <c r="F13" i="3" s="1"/>
  <c r="G10" i="1"/>
  <c r="G6" i="3" s="1"/>
  <c r="H10" i="1"/>
  <c r="H6" i="3" s="1"/>
  <c r="I10" i="1"/>
  <c r="I13" i="3" s="1"/>
  <c r="C10" i="1"/>
  <c r="C6" i="3" s="1"/>
  <c r="B10" i="1"/>
  <c r="B13" i="3" s="1"/>
  <c r="I21" i="1" l="1"/>
  <c r="H21" i="1"/>
  <c r="B21" i="1"/>
  <c r="C13" i="3"/>
  <c r="D13" i="3"/>
  <c r="G21" i="1"/>
  <c r="F21" i="1"/>
  <c r="E13" i="3"/>
  <c r="G13" i="3"/>
  <c r="D21" i="1"/>
  <c r="C21" i="1"/>
  <c r="H13" i="3"/>
  <c r="E3" i="3"/>
  <c r="B6" i="3"/>
  <c r="F6" i="3"/>
  <c r="I6" i="3"/>
  <c r="E6" i="3"/>
</calcChain>
</file>

<file path=xl/sharedStrings.xml><?xml version="1.0" encoding="utf-8"?>
<sst xmlns="http://schemas.openxmlformats.org/spreadsheetml/2006/main" count="184" uniqueCount="106">
  <si>
    <t>Years</t>
  </si>
  <si>
    <t>Revenue</t>
  </si>
  <si>
    <t>COGS</t>
  </si>
  <si>
    <t>Gross Profit</t>
  </si>
  <si>
    <t>Net Income</t>
  </si>
  <si>
    <t>CapEx</t>
  </si>
  <si>
    <t>Gross Margin</t>
  </si>
  <si>
    <t>Shares Outstanding</t>
  </si>
  <si>
    <t>Operating Margin</t>
  </si>
  <si>
    <t>Net Margin</t>
  </si>
  <si>
    <t>Operating Expenses</t>
  </si>
  <si>
    <t>Operating Income</t>
  </si>
  <si>
    <t>OCF</t>
  </si>
  <si>
    <t>FCF</t>
  </si>
  <si>
    <t>Share Buybacks</t>
  </si>
  <si>
    <t>Services Revenue</t>
  </si>
  <si>
    <t>Products Revenue</t>
  </si>
  <si>
    <t>R&amp;D Expense</t>
  </si>
  <si>
    <t>SG&amp;A</t>
  </si>
  <si>
    <t>Total Assets</t>
  </si>
  <si>
    <t>Total Liabilities</t>
  </si>
  <si>
    <t>Net Income CAGR</t>
  </si>
  <si>
    <t>FCF Margin</t>
  </si>
  <si>
    <t>Annual Share Reduction %</t>
  </si>
  <si>
    <t>Revenue YoY %</t>
  </si>
  <si>
    <t>Services % of Revenue</t>
  </si>
  <si>
    <t>Products % of Revenue</t>
  </si>
  <si>
    <t>N/A</t>
  </si>
  <si>
    <t>Revenue CAGR(2018-2025)</t>
  </si>
  <si>
    <t>2018-2025</t>
  </si>
  <si>
    <t>Growth Reality</t>
  </si>
  <si>
    <t>Insight Title</t>
  </si>
  <si>
    <t>Insight Text</t>
  </si>
  <si>
    <t>Key KPI Reference</t>
  </si>
  <si>
    <t>Revenue CAGR, Revenue YoY</t>
  </si>
  <si>
    <t>Gross Margin, Operating Margin</t>
  </si>
  <si>
    <t>Cash Quality</t>
  </si>
  <si>
    <t>FCF Margin, OCF Conversion</t>
  </si>
  <si>
    <t>Capital Allocation Discipline</t>
  </si>
  <si>
    <t>Share Reduction %, Buyback Intensity</t>
  </si>
  <si>
    <t>Business Mix Shift</t>
  </si>
  <si>
    <t>Margin Structure</t>
  </si>
  <si>
    <t>Metric</t>
  </si>
  <si>
    <t>Assumption</t>
  </si>
  <si>
    <t>2025 Actual</t>
  </si>
  <si>
    <t>2026 Forecast</t>
  </si>
  <si>
    <t>Revenue – Products</t>
  </si>
  <si>
    <t>Revenue – Services</t>
  </si>
  <si>
    <t>Total Revenue</t>
  </si>
  <si>
    <t>Gross Margin %</t>
  </si>
  <si>
    <t>Operating Margin %</t>
  </si>
  <si>
    <t>Net Margin %</t>
  </si>
  <si>
    <t>Operating Cash Flow</t>
  </si>
  <si>
    <t>Free Cash Flow</t>
  </si>
  <si>
    <t>Blended growth driven by Services outpacing Products, resulting in low-to-mid single-digit total revenue growth.</t>
  </si>
  <si>
    <t>Continued low single-digit annual reduction driven by sustained buyback activity.</t>
  </si>
  <si>
    <t>Section</t>
  </si>
  <si>
    <t>Key Takeaway</t>
  </si>
  <si>
    <t>Revenue Outlook</t>
  </si>
  <si>
    <t>Cash Generation</t>
  </si>
  <si>
    <t>Capital Allocation</t>
  </si>
  <si>
    <t>Risk &amp; Sensitivity</t>
  </si>
  <si>
    <t>Margin Outlook</t>
  </si>
  <si>
    <t>Bear Case</t>
  </si>
  <si>
    <t>Base Case</t>
  </si>
  <si>
    <t>Bull Case</t>
  </si>
  <si>
    <t>Revenue Growth %</t>
  </si>
  <si>
    <t>Services Growth %</t>
  </si>
  <si>
    <t>Share Buybacks ($ millions)</t>
  </si>
  <si>
    <t>Shares Outstanding (post-split)</t>
  </si>
  <si>
    <t>Weighted Avg Shares Outstanding (post-split)</t>
  </si>
  <si>
    <t>EPS</t>
  </si>
  <si>
    <t xml:space="preserve">FCF per Share </t>
  </si>
  <si>
    <t>FCF Payout to Buybacks</t>
  </si>
  <si>
    <t>Cash Conversion Ratio</t>
  </si>
  <si>
    <t>Revenue CAGR between 2018 and 2025 is approximately 5.7%, with significant volatility across the period. Following a one-off ~33% surge in 2021, revenue growth normalized to low single digits, confirming Apple’s transition into a mature growth phase rather than a high-growth profile. Consequently, future shareholder returns are more likely to be driven by margin stability, capital returns, and multiple durability than by revenue acceleration.</t>
  </si>
  <si>
    <t>Gross margin remained around 38% during 2018–2020 but structurally re-rated above 44% from 2021 onward. This expansion appears sustainable and is driven primarily by a richer Services mix and strong pricing power, reinforced by ecosystem lock-in and the scalability of digital services rather than temporary cost reductions.</t>
  </si>
  <si>
    <t>Apple consistently converts earnings into cash, evidenced by an average free cash flow margin of approximately 26% and operating cash flow conversion persistently above 110%. This highlights high earnings quality and indicates that reported profits are strongly supported by underlying cash generation rather than accounting adjustments.</t>
  </si>
  <si>
    <t>While buyback intensity has declined from over 110% of free cash flow in 2018–2019 to roughly 78% in recent years, Apple continues to reduce its share count by approximately 2–3% annually. This signals a shift toward a more disciplined and sustainable capital return framework, albeit one that still partially leverages balance sheet flexibility.</t>
  </si>
  <si>
    <t>Services revenue increased from 14% of total revenue in 2018 to approximately 25% in 2025. This structural shift toward recurring, higher-margin revenue streams has been a core driver of margin expansion and materially enhances business resilience across economic cycles.</t>
  </si>
  <si>
    <t>Stable margins and continued share reduction driven by buybacks.</t>
  </si>
  <si>
    <t>Free Cash Flow ($bn)</t>
  </si>
  <si>
    <t>Share Buybacks ($bn)</t>
  </si>
  <si>
    <t>Shares Outstanding (bn)</t>
  </si>
  <si>
    <r>
      <t xml:space="preserve">Gross margin is assumed to remain structurally stable at approximately </t>
    </r>
    <r>
      <rPr>
        <b/>
        <sz val="11"/>
        <color theme="1"/>
        <rFont val="Aptos Narrow"/>
        <family val="2"/>
        <scheme val="minor"/>
      </rPr>
      <t>44.8%</t>
    </r>
    <r>
      <rPr>
        <sz val="11"/>
        <color theme="1"/>
        <rFont val="Aptos Narrow"/>
        <family val="2"/>
        <scheme val="minor"/>
      </rPr>
      <t xml:space="preserve"> in 2026. The positive contribution from a higher Services mix is expected to broadly offset hardware-related margin pressure from competitive pricing and normalized input costs. No material margin expansion is assumed, reinforcing the conservative and sustainability-focused nature of the forecast.</t>
    </r>
  </si>
  <si>
    <r>
      <t xml:space="preserve">Operating margin in 2026 is modeled at approximately </t>
    </r>
    <r>
      <rPr>
        <b/>
        <sz val="11"/>
        <color theme="1"/>
        <rFont val="Aptos Narrow"/>
        <family val="2"/>
        <scheme val="minor"/>
      </rPr>
      <t>29.6%</t>
    </r>
    <r>
      <rPr>
        <sz val="11"/>
        <color theme="1"/>
        <rFont val="Aptos Narrow"/>
        <family val="2"/>
        <scheme val="minor"/>
      </rPr>
      <t>, reflecting disciplined cost management rather than incremental operating leverage. Modest revenue growth limits scale benefits, but continued focus on expense control supports margin stability. No structural reduction in OpEx intensity is assumed.</t>
    </r>
  </si>
  <si>
    <r>
      <t xml:space="preserve">Operating cash flow is assumed at approximately </t>
    </r>
    <r>
      <rPr>
        <b/>
        <sz val="11"/>
        <color theme="1"/>
        <rFont val="Aptos Narrow"/>
        <family val="2"/>
        <scheme val="minor"/>
      </rPr>
      <t>29% of revenue</t>
    </r>
    <r>
      <rPr>
        <sz val="11"/>
        <color theme="1"/>
        <rFont val="Aptos Narrow"/>
        <family val="2"/>
        <scheme val="minor"/>
      </rPr>
      <t>, consistent with Apple’s historical cash conversion profile. Strong working capital management and the high cash-generative nature of Services support reliable conversion of earnings into cash, reinforcing free cash flow as a robust indicator of underlying economic performance.</t>
    </r>
  </si>
  <si>
    <r>
      <t xml:space="preserve">Capital expenditures are assumed at approximately </t>
    </r>
    <r>
      <rPr>
        <b/>
        <sz val="11"/>
        <color theme="1"/>
        <rFont val="Aptos Narrow"/>
        <family val="2"/>
        <scheme val="minor"/>
      </rPr>
      <t>3.0% of revenue</t>
    </r>
    <r>
      <rPr>
        <sz val="11"/>
        <color theme="1"/>
        <rFont val="Aptos Narrow"/>
        <family val="2"/>
        <scheme val="minor"/>
      </rPr>
      <t xml:space="preserve"> in 2026, consistent with a mature business profile. Investment is primarily directed toward infrastructure maintenance and incremental upgrades rather than capacity expansion, supporting strong free cash flow generation.</t>
    </r>
  </si>
  <si>
    <t>Product revenue growth in 2026 is assumed at approximately 1.0%, reflecting the maturity of Apple’s core hardware categories and limited incremental unit growth across developed markets. While selective pricing actions and product refresh cycles provide revenue stability, these are largely offset by market saturation and lengthening replacement cycles. As a result, hardware revenue is modeled as a stabilizing component of the business rather than a primary growth driver.</t>
  </si>
  <si>
    <t>Services revenue is expected to grow at approximately 8.0% in 2026, driven by continued expansion of the installed base, higher monetization per user, and increasing adoption of subscription-based offerings. Unlike hardware, Services growth is less dependent on device unit sales and benefits from recurring revenue characteristics, providing greater visibility and durability to top-line performance.</t>
  </si>
  <si>
    <t>Share buybacks in 2026 are modeled as a function of free cash flow rather than a fixed dollar amount. Approximately 78% of free cash flow is assumed to be allocated to share repurchases, consistent with Apple’s long-standing capital return framework.</t>
  </si>
  <si>
    <t>Net margin in 2026 is assumed to remain broadly stable, reflecting consistent operating profitability, a normalized tax rate, and no material changes in the company’s financing structure.</t>
  </si>
  <si>
    <t>Free cash flow growth in 2026 reflects stable operating margins, disciplined capital spending, and continued high cash conversion, reinforcing Apple’s ability to generate durable shareholder returns.</t>
  </si>
  <si>
    <t>Overall 2026 Forecast</t>
  </si>
  <si>
    <t>Overall, the 2026 forecast reflects Apple’s evolution into a low-growth but high-durability business, where shareholder value creation is increasingly driven by free cash flow generation and disciplined capital allocation rather than revenue acceleration.</t>
  </si>
  <si>
    <t>Gross and operating margins are expected to remain structurally elevated, supported by a higher Services mix, ecosystem pricing power, and disciplined cost control. Crucially, margins are not assumed to revert despite normalized revenue growth, suggesting that recent margin strength reflects structural business mix improvements rather than temporary cost relief.</t>
  </si>
  <si>
    <t>Cash generation is expected to remain a core strength, with free cash flow sustained above $100bn and operating cash flow conversion continuing to exceed historical averages. This level of cash generation underpins valuation support and positions free cash flow as the primary driver of shareholder returns rather than reported earnings growth.</t>
  </si>
  <si>
    <t>Apple is expected to maintain a disciplined capital return framework, allocating approximately 78% of free cash flow to share buybacks and driving an estimated ~2.5% annual reduction in shares outstanding. In a low-growth revenue environment, this capital return discipline becomes the dominant driver of EPS compounding and per-share value creation.</t>
  </si>
  <si>
    <t>Key downside risks include weaker-than-expected Product demand, a sharper deceleration in Services growth, and margin compression from competitive pricing or elevated investment requirements. From a valuation perspective, sustained Services underperformance or structural margin erosion would represent the most material risks, as they would directly impair free cash flow durability and EPS compounding.</t>
  </si>
  <si>
    <t>Total revenue is expected to grow at low-to-mid single-digit rates in 2026, with Services growth acting as the primary driver while Product revenue remains broadly flat in mature hardware markets. Importantly, this mix-driven growth profile enhances revenue durability and visibility, reinforcing Apple’s positioning as a mature, cash-generative business rather than a volume-led growth story.</t>
  </si>
  <si>
    <t>Overall Investment Interpretation</t>
  </si>
  <si>
    <t>Overall, the 2026 outlook reinforces Apple’s profile as a low-growth but high-durability compounder, where valuation support and shareholder returns are driven primarily by cash generation, margin stability, and disciplined capital allocation rather than revenue re-acceleration.</t>
  </si>
  <si>
    <t>Year</t>
  </si>
  <si>
    <t>Value</t>
  </si>
  <si>
    <t>KPI</t>
  </si>
  <si>
    <t>Revenue YoY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</si>
</sst>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s>
  <fonts count="4">
    <font>
      <sz val="11"/>
      <color theme="1"/>
      <name val="Aptos Narrow"/>
      <family val="2"/>
      <scheme val="minor"/>
    </font>
    <font>
      <sz val="11"/>
      <color theme="1"/>
      <name val="Aptos Narrow"/>
      <family val="2"/>
      <scheme val="minor"/>
    </font>
    <font>
      <sz val="11"/>
      <color theme="1"/>
      <name val="normal"/>
    </font>
    <font>
      <b/>
      <sz val="11"/>
      <color theme="1"/>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5">
    <xf numFmtId="0" fontId="0" fillId="0" borderId="0" xfId="0"/>
    <xf numFmtId="164" fontId="0" fillId="0" borderId="0" xfId="1" applyNumberFormat="1" applyFont="1"/>
    <xf numFmtId="44" fontId="0" fillId="0" borderId="0" xfId="1" applyFont="1"/>
    <xf numFmtId="43" fontId="0" fillId="0" borderId="0" xfId="3" applyFont="1"/>
    <xf numFmtId="165" fontId="0" fillId="0" borderId="0" xfId="2" applyNumberFormat="1" applyFont="1"/>
    <xf numFmtId="10" fontId="0" fillId="0" borderId="0" xfId="2" applyNumberFormat="1" applyFont="1"/>
    <xf numFmtId="0" fontId="0" fillId="0" borderId="0" xfId="0" applyAlignment="1">
      <alignment wrapText="1"/>
    </xf>
    <xf numFmtId="0" fontId="2" fillId="0" borderId="0" xfId="0" applyFont="1" applyAlignment="1">
      <alignment wrapText="1"/>
    </xf>
    <xf numFmtId="44" fontId="0" fillId="0" borderId="0" xfId="0" applyNumberFormat="1"/>
    <xf numFmtId="10" fontId="0" fillId="0" borderId="0" xfId="0" applyNumberFormat="1"/>
    <xf numFmtId="2" fontId="0" fillId="0" borderId="0" xfId="0" applyNumberFormat="1"/>
    <xf numFmtId="166" fontId="0" fillId="0" borderId="0" xfId="3" applyNumberFormat="1" applyFont="1"/>
    <xf numFmtId="0" fontId="0" fillId="0" borderId="0" xfId="0" applyAlignment="1">
      <alignment horizontal="center" vertical="center" wrapText="1"/>
    </xf>
    <xf numFmtId="0" fontId="0" fillId="0" borderId="0" xfId="0" applyAlignment="1">
      <alignment vertical="center" wrapText="1"/>
    </xf>
    <xf numFmtId="1" fontId="0" fillId="0" borderId="0" xfId="0" applyNumberFormat="1"/>
  </cellXfs>
  <cellStyles count="4">
    <cellStyle name="Comma" xfId="3" builtinId="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3B53C-2D43-40AC-92D0-576B3F504E26}">
  <dimension ref="A1:I21"/>
  <sheetViews>
    <sheetView zoomScale="82" zoomScaleNormal="82" workbookViewId="0">
      <selection activeCell="C31" sqref="C31"/>
    </sheetView>
  </sheetViews>
  <sheetFormatPr defaultRowHeight="15"/>
  <cols>
    <col min="1" max="1" width="41.42578125" customWidth="1"/>
    <col min="2" max="2" width="29" customWidth="1"/>
    <col min="3" max="3" width="22.42578125" customWidth="1"/>
    <col min="4" max="4" width="23.5703125" customWidth="1"/>
    <col min="5" max="5" width="19.28515625" bestFit="1" customWidth="1"/>
    <col min="6" max="6" width="19" bestFit="1" customWidth="1"/>
    <col min="7" max="7" width="18" bestFit="1" customWidth="1"/>
    <col min="8" max="8" width="19" bestFit="1" customWidth="1"/>
    <col min="9" max="9" width="18" bestFit="1" customWidth="1"/>
    <col min="13" max="13" width="15" bestFit="1" customWidth="1"/>
  </cols>
  <sheetData>
    <row r="1" spans="1:9">
      <c r="A1" t="s">
        <v>0</v>
      </c>
      <c r="B1">
        <v>2018</v>
      </c>
      <c r="C1">
        <v>2019</v>
      </c>
      <c r="D1">
        <v>2020</v>
      </c>
      <c r="E1">
        <v>2021</v>
      </c>
      <c r="F1">
        <v>2022</v>
      </c>
      <c r="G1">
        <v>2023</v>
      </c>
      <c r="H1">
        <v>2024</v>
      </c>
      <c r="I1">
        <v>2025</v>
      </c>
    </row>
    <row r="2" spans="1:9">
      <c r="A2" t="s">
        <v>1</v>
      </c>
      <c r="B2" s="3">
        <v>265595</v>
      </c>
      <c r="C2" s="3">
        <v>260174</v>
      </c>
      <c r="D2" s="3">
        <v>274515</v>
      </c>
      <c r="E2" s="3">
        <v>365817</v>
      </c>
      <c r="F2" s="3">
        <v>394328</v>
      </c>
      <c r="G2" s="3">
        <v>383285</v>
      </c>
      <c r="H2" s="3">
        <v>385603</v>
      </c>
      <c r="I2" s="3">
        <v>391035</v>
      </c>
    </row>
    <row r="3" spans="1:9">
      <c r="A3" t="s">
        <v>2</v>
      </c>
      <c r="B3" s="3">
        <v>163756</v>
      </c>
      <c r="C3" s="3">
        <v>161782</v>
      </c>
      <c r="D3" s="3">
        <v>169559</v>
      </c>
      <c r="E3" s="3">
        <v>212981</v>
      </c>
      <c r="F3" s="3">
        <v>223546</v>
      </c>
      <c r="G3" s="3">
        <v>214137</v>
      </c>
      <c r="H3" s="3">
        <v>210352</v>
      </c>
      <c r="I3" s="3">
        <v>216482</v>
      </c>
    </row>
    <row r="4" spans="1:9">
      <c r="A4" t="s">
        <v>3</v>
      </c>
      <c r="B4" s="3">
        <f>B2-B3</f>
        <v>101839</v>
      </c>
      <c r="C4" s="3">
        <f t="shared" ref="C4:I4" si="0">C2-C3</f>
        <v>98392</v>
      </c>
      <c r="D4" s="3">
        <f t="shared" si="0"/>
        <v>104956</v>
      </c>
      <c r="E4" s="3">
        <f t="shared" si="0"/>
        <v>152836</v>
      </c>
      <c r="F4" s="3">
        <f t="shared" si="0"/>
        <v>170782</v>
      </c>
      <c r="G4" s="3">
        <f t="shared" si="0"/>
        <v>169148</v>
      </c>
      <c r="H4" s="3">
        <f t="shared" si="0"/>
        <v>175251</v>
      </c>
      <c r="I4" s="3">
        <f t="shared" si="0"/>
        <v>174553</v>
      </c>
    </row>
    <row r="5" spans="1:9">
      <c r="A5" t="s">
        <v>10</v>
      </c>
      <c r="B5" s="3">
        <v>30941</v>
      </c>
      <c r="C5" s="3">
        <v>34462</v>
      </c>
      <c r="D5" s="3">
        <v>38668</v>
      </c>
      <c r="E5" s="3">
        <v>43887</v>
      </c>
      <c r="F5" s="3">
        <v>51345</v>
      </c>
      <c r="G5" s="3">
        <v>55292</v>
      </c>
      <c r="H5" s="3">
        <v>57354</v>
      </c>
      <c r="I5" s="3">
        <v>59231</v>
      </c>
    </row>
    <row r="6" spans="1:9">
      <c r="A6" t="s">
        <v>11</v>
      </c>
      <c r="B6" s="3">
        <v>70898</v>
      </c>
      <c r="C6" s="3">
        <v>63930</v>
      </c>
      <c r="D6" s="3">
        <v>66288</v>
      </c>
      <c r="E6" s="3">
        <v>108949</v>
      </c>
      <c r="F6" s="3">
        <v>119437</v>
      </c>
      <c r="G6" s="3">
        <v>113856</v>
      </c>
      <c r="H6" s="3">
        <v>114112</v>
      </c>
      <c r="I6" s="3">
        <v>115322</v>
      </c>
    </row>
    <row r="7" spans="1:9">
      <c r="A7" t="s">
        <v>4</v>
      </c>
      <c r="B7" s="3">
        <v>59531</v>
      </c>
      <c r="C7" s="3">
        <v>55256</v>
      </c>
      <c r="D7" s="3">
        <v>57411</v>
      </c>
      <c r="E7" s="3">
        <v>94680</v>
      </c>
      <c r="F7" s="3">
        <v>99803</v>
      </c>
      <c r="G7" s="3">
        <v>97000</v>
      </c>
      <c r="H7" s="3">
        <v>97970</v>
      </c>
      <c r="I7" s="3">
        <v>101004</v>
      </c>
    </row>
    <row r="8" spans="1:9">
      <c r="A8" t="s">
        <v>12</v>
      </c>
      <c r="B8" s="3">
        <v>77434</v>
      </c>
      <c r="C8" s="3">
        <v>69391</v>
      </c>
      <c r="D8" s="3">
        <v>80674</v>
      </c>
      <c r="E8" s="3">
        <v>104038</v>
      </c>
      <c r="F8" s="3">
        <v>122151</v>
      </c>
      <c r="G8" s="3">
        <v>110543</v>
      </c>
      <c r="H8" s="3">
        <v>110746</v>
      </c>
      <c r="I8" s="3">
        <v>113216</v>
      </c>
    </row>
    <row r="9" spans="1:9">
      <c r="A9" t="s">
        <v>5</v>
      </c>
      <c r="B9" s="3">
        <v>13313</v>
      </c>
      <c r="C9" s="3">
        <v>10495</v>
      </c>
      <c r="D9" s="3">
        <v>7309</v>
      </c>
      <c r="E9" s="3">
        <v>11085</v>
      </c>
      <c r="F9" s="3">
        <v>10708</v>
      </c>
      <c r="G9" s="3">
        <v>10959</v>
      </c>
      <c r="H9" s="3">
        <v>10959</v>
      </c>
      <c r="I9" s="3">
        <v>11482</v>
      </c>
    </row>
    <row r="10" spans="1:9">
      <c r="A10" t="s">
        <v>13</v>
      </c>
      <c r="B10" s="3">
        <f>B8-B9</f>
        <v>64121</v>
      </c>
      <c r="C10" s="3">
        <f>C8-C9</f>
        <v>58896</v>
      </c>
      <c r="D10" s="3">
        <f t="shared" ref="D10:I10" si="1">D8-D9</f>
        <v>73365</v>
      </c>
      <c r="E10" s="3">
        <f t="shared" si="1"/>
        <v>92953</v>
      </c>
      <c r="F10" s="3">
        <f t="shared" si="1"/>
        <v>111443</v>
      </c>
      <c r="G10" s="3">
        <f t="shared" si="1"/>
        <v>99584</v>
      </c>
      <c r="H10" s="3">
        <f t="shared" si="1"/>
        <v>99787</v>
      </c>
      <c r="I10" s="3">
        <f t="shared" si="1"/>
        <v>101734</v>
      </c>
    </row>
    <row r="11" spans="1:9">
      <c r="A11" t="s">
        <v>69</v>
      </c>
      <c r="B11" s="11">
        <v>19821508000</v>
      </c>
      <c r="C11" s="11">
        <v>17772944000</v>
      </c>
      <c r="D11" s="11">
        <v>17102536000</v>
      </c>
      <c r="E11" s="11">
        <v>16426786000</v>
      </c>
      <c r="F11" s="11">
        <v>15943425000</v>
      </c>
      <c r="G11" s="11">
        <v>15550061000</v>
      </c>
      <c r="H11" s="11">
        <v>15115823000</v>
      </c>
      <c r="I11" s="11">
        <v>14776353000</v>
      </c>
    </row>
    <row r="12" spans="1:9">
      <c r="A12" t="s">
        <v>70</v>
      </c>
      <c r="B12" s="11">
        <v>20000436000</v>
      </c>
      <c r="C12" s="11">
        <v>18470016000</v>
      </c>
      <c r="D12" s="11">
        <v>17102536000</v>
      </c>
      <c r="E12" s="11">
        <v>16864919000</v>
      </c>
      <c r="F12" s="11">
        <v>16215963000</v>
      </c>
      <c r="G12" s="11">
        <v>15812547000</v>
      </c>
      <c r="H12" s="11">
        <v>15383000000</v>
      </c>
      <c r="I12" s="11">
        <v>15021000000</v>
      </c>
    </row>
    <row r="13" spans="1:9">
      <c r="A13" t="s">
        <v>68</v>
      </c>
      <c r="B13" s="11">
        <v>72738</v>
      </c>
      <c r="C13" s="11">
        <v>66897</v>
      </c>
      <c r="D13" s="11">
        <v>72358</v>
      </c>
      <c r="E13" s="11">
        <v>85531</v>
      </c>
      <c r="F13" s="11">
        <v>89402</v>
      </c>
      <c r="G13" s="11">
        <v>77550</v>
      </c>
      <c r="H13" s="11">
        <v>77550</v>
      </c>
      <c r="I13" s="11">
        <v>79312</v>
      </c>
    </row>
    <row r="14" spans="1:9">
      <c r="A14" t="s">
        <v>15</v>
      </c>
      <c r="B14" s="3">
        <v>37190</v>
      </c>
      <c r="C14" s="3">
        <v>46291</v>
      </c>
      <c r="D14" s="3">
        <v>53768</v>
      </c>
      <c r="E14" s="3">
        <v>68425</v>
      </c>
      <c r="F14" s="3">
        <v>78129</v>
      </c>
      <c r="G14" s="3">
        <v>85200</v>
      </c>
      <c r="H14" s="3">
        <v>90300</v>
      </c>
      <c r="I14" s="3">
        <v>95845</v>
      </c>
    </row>
    <row r="15" spans="1:9">
      <c r="A15" t="s">
        <v>16</v>
      </c>
      <c r="B15" s="3">
        <v>228405</v>
      </c>
      <c r="C15" s="3">
        <v>213883</v>
      </c>
      <c r="D15" s="3">
        <v>220747</v>
      </c>
      <c r="E15" s="3">
        <v>297392</v>
      </c>
      <c r="F15" s="3">
        <v>316199</v>
      </c>
      <c r="G15" s="3">
        <v>298085</v>
      </c>
      <c r="H15" s="3">
        <v>295303</v>
      </c>
      <c r="I15" s="3">
        <v>295193</v>
      </c>
    </row>
    <row r="16" spans="1:9">
      <c r="A16" t="s">
        <v>17</v>
      </c>
      <c r="B16" s="3">
        <v>14236</v>
      </c>
      <c r="C16" s="3">
        <v>16217</v>
      </c>
      <c r="D16" s="3">
        <v>18752</v>
      </c>
      <c r="E16" s="3">
        <v>21914</v>
      </c>
      <c r="F16" s="3">
        <v>26251</v>
      </c>
      <c r="G16" s="3">
        <v>29915</v>
      </c>
      <c r="H16" s="3">
        <v>31370</v>
      </c>
      <c r="I16" s="3">
        <v>33118</v>
      </c>
    </row>
    <row r="17" spans="1:9">
      <c r="A17" t="s">
        <v>18</v>
      </c>
      <c r="B17" s="3">
        <v>16705</v>
      </c>
      <c r="C17" s="3">
        <v>18245</v>
      </c>
      <c r="D17" s="3">
        <v>19916</v>
      </c>
      <c r="E17" s="3">
        <v>21973</v>
      </c>
      <c r="F17" s="3">
        <v>25094</v>
      </c>
      <c r="G17" s="3">
        <v>25377</v>
      </c>
      <c r="H17" s="3">
        <v>25984</v>
      </c>
      <c r="I17" s="3">
        <v>26113</v>
      </c>
    </row>
    <row r="18" spans="1:9">
      <c r="A18" t="s">
        <v>19</v>
      </c>
      <c r="B18" s="3">
        <v>365725</v>
      </c>
      <c r="C18" s="3">
        <v>338516</v>
      </c>
      <c r="D18" s="3">
        <v>323888</v>
      </c>
      <c r="E18" s="3">
        <v>351002</v>
      </c>
      <c r="F18" s="3">
        <v>352755</v>
      </c>
      <c r="G18" s="3">
        <v>352583</v>
      </c>
      <c r="H18" s="3">
        <v>364980</v>
      </c>
      <c r="I18" s="3">
        <v>371284</v>
      </c>
    </row>
    <row r="19" spans="1:9">
      <c r="A19" t="s">
        <v>20</v>
      </c>
      <c r="B19" s="3">
        <v>258578</v>
      </c>
      <c r="C19" s="3">
        <v>248028</v>
      </c>
      <c r="D19" s="3">
        <v>258549</v>
      </c>
      <c r="E19" s="3">
        <v>287912</v>
      </c>
      <c r="F19" s="3">
        <v>302083</v>
      </c>
      <c r="G19" s="3">
        <v>290437</v>
      </c>
      <c r="H19" s="3">
        <v>302090</v>
      </c>
      <c r="I19" s="3">
        <v>306447</v>
      </c>
    </row>
    <row r="20" spans="1:9">
      <c r="A20" t="s">
        <v>71</v>
      </c>
      <c r="B20" s="10">
        <f>B7/(B12/1000000)</f>
        <v>2.9764851126245446</v>
      </c>
      <c r="C20" s="10">
        <f t="shared" ref="C20:I20" si="2">C7/(C12/1000000)</f>
        <v>2.9916595632618836</v>
      </c>
      <c r="D20" s="10">
        <f t="shared" si="2"/>
        <v>3.3568705834035373</v>
      </c>
      <c r="E20" s="10">
        <f t="shared" si="2"/>
        <v>5.6140204408927188</v>
      </c>
      <c r="F20" s="10">
        <f t="shared" si="2"/>
        <v>6.1546144376377772</v>
      </c>
      <c r="G20" s="10">
        <f t="shared" si="2"/>
        <v>6.1343691183969282</v>
      </c>
      <c r="H20" s="10">
        <f t="shared" si="2"/>
        <v>6.3687187154651239</v>
      </c>
      <c r="I20" s="10">
        <f t="shared" si="2"/>
        <v>6.724186139404833</v>
      </c>
    </row>
    <row r="21" spans="1:9">
      <c r="A21" t="s">
        <v>72</v>
      </c>
      <c r="B21" s="10">
        <f>B10/(B12/1000000)</f>
        <v>3.2059801096336096</v>
      </c>
      <c r="C21" s="10">
        <f t="shared" ref="C21:I21" si="3">C10/(C12/1000000)</f>
        <v>3.1887357325516126</v>
      </c>
      <c r="D21" s="10">
        <f t="shared" si="3"/>
        <v>4.2897146949434868</v>
      </c>
      <c r="E21" s="10">
        <f t="shared" si="3"/>
        <v>5.5116185260065578</v>
      </c>
      <c r="F21" s="10">
        <f t="shared" si="3"/>
        <v>6.8724256462598001</v>
      </c>
      <c r="G21" s="10">
        <f t="shared" si="3"/>
        <v>6.2977836524375226</v>
      </c>
      <c r="H21" s="10">
        <f t="shared" si="3"/>
        <v>6.4868361177923681</v>
      </c>
      <c r="I21" s="10">
        <f t="shared" si="3"/>
        <v>6.772784767991479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4BC00-FCD4-4259-9A43-447D3B14DDF3}">
  <dimension ref="A1:C41"/>
  <sheetViews>
    <sheetView workbookViewId="0">
      <selection activeCell="A3" sqref="A3"/>
    </sheetView>
  </sheetViews>
  <sheetFormatPr defaultRowHeight="15"/>
  <cols>
    <col min="1" max="1" width="16.140625" customWidth="1"/>
    <col min="2" max="2" width="26.7109375" customWidth="1"/>
    <col min="3" max="3" width="20.42578125" customWidth="1"/>
  </cols>
  <sheetData>
    <row r="1" spans="1:3">
      <c r="A1" t="s">
        <v>102</v>
      </c>
      <c r="B1" t="s">
        <v>42</v>
      </c>
      <c r="C1" t="s">
        <v>103</v>
      </c>
    </row>
    <row r="2" spans="1:3">
      <c r="A2">
        <v>2018</v>
      </c>
      <c r="B2" t="s">
        <v>1</v>
      </c>
      <c r="C2">
        <v>265595</v>
      </c>
    </row>
    <row r="3" spans="1:3">
      <c r="A3">
        <v>2018</v>
      </c>
      <c r="B3" t="s">
        <v>2</v>
      </c>
      <c r="C3">
        <v>163756</v>
      </c>
    </row>
    <row r="4" spans="1:3">
      <c r="A4">
        <v>2018</v>
      </c>
      <c r="B4" t="s">
        <v>3</v>
      </c>
      <c r="C4">
        <v>101839</v>
      </c>
    </row>
    <row r="5" spans="1:3">
      <c r="A5">
        <v>2018</v>
      </c>
      <c r="B5" t="s">
        <v>10</v>
      </c>
      <c r="C5">
        <v>30941</v>
      </c>
    </row>
    <row r="6" spans="1:3">
      <c r="A6">
        <v>2018</v>
      </c>
      <c r="B6" t="s">
        <v>11</v>
      </c>
      <c r="C6">
        <v>70898</v>
      </c>
    </row>
    <row r="7" spans="1:3">
      <c r="A7">
        <v>2019</v>
      </c>
      <c r="B7" t="s">
        <v>1</v>
      </c>
      <c r="C7">
        <v>260174</v>
      </c>
    </row>
    <row r="8" spans="1:3">
      <c r="A8">
        <v>2019</v>
      </c>
      <c r="B8" t="s">
        <v>2</v>
      </c>
      <c r="C8">
        <v>161782</v>
      </c>
    </row>
    <row r="9" spans="1:3">
      <c r="A9">
        <v>2019</v>
      </c>
      <c r="B9" t="s">
        <v>3</v>
      </c>
      <c r="C9">
        <v>98392</v>
      </c>
    </row>
    <row r="10" spans="1:3">
      <c r="A10">
        <v>2019</v>
      </c>
      <c r="B10" t="s">
        <v>10</v>
      </c>
      <c r="C10">
        <v>34462</v>
      </c>
    </row>
    <row r="11" spans="1:3">
      <c r="A11">
        <v>2019</v>
      </c>
      <c r="B11" t="s">
        <v>11</v>
      </c>
      <c r="C11">
        <v>63930</v>
      </c>
    </row>
    <row r="12" spans="1:3">
      <c r="A12">
        <v>2020</v>
      </c>
      <c r="B12" t="s">
        <v>1</v>
      </c>
      <c r="C12">
        <v>274515</v>
      </c>
    </row>
    <row r="13" spans="1:3">
      <c r="A13">
        <v>2020</v>
      </c>
      <c r="B13" t="s">
        <v>2</v>
      </c>
      <c r="C13">
        <v>169559</v>
      </c>
    </row>
    <row r="14" spans="1:3">
      <c r="A14">
        <v>2020</v>
      </c>
      <c r="B14" t="s">
        <v>3</v>
      </c>
      <c r="C14">
        <v>104956</v>
      </c>
    </row>
    <row r="15" spans="1:3">
      <c r="A15">
        <v>2020</v>
      </c>
      <c r="B15" t="s">
        <v>10</v>
      </c>
      <c r="C15">
        <v>38668</v>
      </c>
    </row>
    <row r="16" spans="1:3">
      <c r="A16">
        <v>2020</v>
      </c>
      <c r="B16" t="s">
        <v>11</v>
      </c>
      <c r="C16">
        <v>66288</v>
      </c>
    </row>
    <row r="17" spans="1:3">
      <c r="A17">
        <v>2021</v>
      </c>
      <c r="B17" t="s">
        <v>1</v>
      </c>
      <c r="C17">
        <v>365817</v>
      </c>
    </row>
    <row r="18" spans="1:3">
      <c r="A18">
        <v>2021</v>
      </c>
      <c r="B18" t="s">
        <v>2</v>
      </c>
      <c r="C18">
        <v>212981</v>
      </c>
    </row>
    <row r="19" spans="1:3">
      <c r="A19">
        <v>2021</v>
      </c>
      <c r="B19" t="s">
        <v>3</v>
      </c>
      <c r="C19">
        <v>152836</v>
      </c>
    </row>
    <row r="20" spans="1:3">
      <c r="A20">
        <v>2021</v>
      </c>
      <c r="B20" t="s">
        <v>10</v>
      </c>
      <c r="C20">
        <v>43887</v>
      </c>
    </row>
    <row r="21" spans="1:3">
      <c r="A21">
        <v>2021</v>
      </c>
      <c r="B21" t="s">
        <v>11</v>
      </c>
      <c r="C21">
        <v>108949</v>
      </c>
    </row>
    <row r="22" spans="1:3">
      <c r="A22">
        <v>2022</v>
      </c>
      <c r="B22" t="s">
        <v>1</v>
      </c>
      <c r="C22">
        <v>394328</v>
      </c>
    </row>
    <row r="23" spans="1:3">
      <c r="A23">
        <v>2022</v>
      </c>
      <c r="B23" t="s">
        <v>2</v>
      </c>
      <c r="C23">
        <v>223546</v>
      </c>
    </row>
    <row r="24" spans="1:3">
      <c r="A24">
        <v>2022</v>
      </c>
      <c r="B24" t="s">
        <v>3</v>
      </c>
      <c r="C24">
        <v>170782</v>
      </c>
    </row>
    <row r="25" spans="1:3">
      <c r="A25">
        <v>2022</v>
      </c>
      <c r="B25" t="s">
        <v>10</v>
      </c>
      <c r="C25">
        <v>51345</v>
      </c>
    </row>
    <row r="26" spans="1:3">
      <c r="A26">
        <v>2022</v>
      </c>
      <c r="B26" t="s">
        <v>11</v>
      </c>
      <c r="C26">
        <v>119437</v>
      </c>
    </row>
    <row r="27" spans="1:3">
      <c r="A27">
        <v>2023</v>
      </c>
      <c r="B27" t="s">
        <v>1</v>
      </c>
      <c r="C27">
        <v>383285</v>
      </c>
    </row>
    <row r="28" spans="1:3">
      <c r="A28">
        <v>2023</v>
      </c>
      <c r="B28" t="s">
        <v>2</v>
      </c>
      <c r="C28">
        <v>214137</v>
      </c>
    </row>
    <row r="29" spans="1:3">
      <c r="A29">
        <v>2023</v>
      </c>
      <c r="B29" t="s">
        <v>3</v>
      </c>
      <c r="C29">
        <v>169148</v>
      </c>
    </row>
    <row r="30" spans="1:3">
      <c r="A30">
        <v>2023</v>
      </c>
      <c r="B30" t="s">
        <v>10</v>
      </c>
      <c r="C30">
        <v>55292</v>
      </c>
    </row>
    <row r="31" spans="1:3">
      <c r="A31">
        <v>2023</v>
      </c>
      <c r="B31" t="s">
        <v>11</v>
      </c>
      <c r="C31">
        <v>113856</v>
      </c>
    </row>
    <row r="32" spans="1:3">
      <c r="A32">
        <v>2024</v>
      </c>
      <c r="B32" t="s">
        <v>1</v>
      </c>
      <c r="C32">
        <v>385603</v>
      </c>
    </row>
    <row r="33" spans="1:3">
      <c r="A33">
        <v>2024</v>
      </c>
      <c r="B33" t="s">
        <v>2</v>
      </c>
      <c r="C33">
        <v>210352</v>
      </c>
    </row>
    <row r="34" spans="1:3">
      <c r="A34">
        <v>2024</v>
      </c>
      <c r="B34" t="s">
        <v>3</v>
      </c>
      <c r="C34">
        <v>175251</v>
      </c>
    </row>
    <row r="35" spans="1:3">
      <c r="A35">
        <v>2024</v>
      </c>
      <c r="B35" t="s">
        <v>10</v>
      </c>
      <c r="C35">
        <v>57354</v>
      </c>
    </row>
    <row r="36" spans="1:3">
      <c r="A36">
        <v>2024</v>
      </c>
      <c r="B36" t="s">
        <v>11</v>
      </c>
      <c r="C36">
        <v>114112</v>
      </c>
    </row>
    <row r="37" spans="1:3">
      <c r="A37">
        <v>2025</v>
      </c>
      <c r="B37" t="s">
        <v>1</v>
      </c>
      <c r="C37">
        <v>391035</v>
      </c>
    </row>
    <row r="38" spans="1:3">
      <c r="A38">
        <v>2025</v>
      </c>
      <c r="B38" t="s">
        <v>2</v>
      </c>
      <c r="C38">
        <v>216482</v>
      </c>
    </row>
    <row r="39" spans="1:3">
      <c r="A39">
        <v>2025</v>
      </c>
      <c r="B39" t="s">
        <v>3</v>
      </c>
      <c r="C39">
        <v>174553</v>
      </c>
    </row>
    <row r="40" spans="1:3">
      <c r="A40">
        <v>2025</v>
      </c>
      <c r="B40" t="s">
        <v>10</v>
      </c>
      <c r="C40">
        <v>59231</v>
      </c>
    </row>
    <row r="41" spans="1:3">
      <c r="A41">
        <v>2025</v>
      </c>
      <c r="B41" t="s">
        <v>11</v>
      </c>
      <c r="C41">
        <v>115322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B7C91-8FF0-4C07-9600-6A9E5BF118D0}">
  <dimension ref="A1:J19"/>
  <sheetViews>
    <sheetView zoomScale="96" zoomScaleNormal="96" workbookViewId="0">
      <selection activeCell="A28" sqref="A28"/>
    </sheetView>
  </sheetViews>
  <sheetFormatPr defaultRowHeight="15"/>
  <cols>
    <col min="1" max="1" width="26" customWidth="1"/>
    <col min="2" max="2" width="12.42578125" customWidth="1"/>
  </cols>
  <sheetData>
    <row r="1" spans="1:10">
      <c r="A1" t="s">
        <v>0</v>
      </c>
      <c r="B1">
        <v>2018</v>
      </c>
      <c r="C1">
        <v>2019</v>
      </c>
      <c r="D1">
        <v>2020</v>
      </c>
      <c r="E1">
        <v>2021</v>
      </c>
      <c r="F1">
        <v>2022</v>
      </c>
      <c r="G1">
        <v>2023</v>
      </c>
      <c r="H1">
        <v>2024</v>
      </c>
      <c r="I1">
        <v>2025</v>
      </c>
    </row>
    <row r="2" spans="1:10">
      <c r="A2" t="s">
        <v>24</v>
      </c>
      <c r="B2" t="s">
        <v>27</v>
      </c>
      <c r="C2" s="5">
        <f>(Raw_Actuals!C2/Raw_Actuals!B2)-1</f>
        <v>-2.04107758052674E-2</v>
      </c>
      <c r="D2" s="5">
        <f>(Raw_Actuals!D2/Raw_Actuals!C2)-1</f>
        <v>5.5120803769784787E-2</v>
      </c>
      <c r="E2" s="5">
        <f>(Raw_Actuals!E2/Raw_Actuals!D2)-1</f>
        <v>0.33259384733074704</v>
      </c>
      <c r="F2" s="5">
        <f>(Raw_Actuals!F2/Raw_Actuals!E2)-1</f>
        <v>7.7937876041846099E-2</v>
      </c>
      <c r="G2" s="5">
        <f>(Raw_Actuals!G2/Raw_Actuals!F2)-1</f>
        <v>-2.800460530319937E-2</v>
      </c>
      <c r="H2" s="5">
        <f>(Raw_Actuals!H2/Raw_Actuals!G2)-1</f>
        <v>6.047719060229273E-3</v>
      </c>
      <c r="I2" s="5">
        <f>(Raw_Actuals!I2/Raw_Actuals!H2)-1</f>
        <v>1.4087027331218804E-2</v>
      </c>
    </row>
    <row r="3" spans="1:10">
      <c r="A3" t="s">
        <v>6</v>
      </c>
      <c r="B3" s="5">
        <f>Raw_Actuals!B4/Raw_Actuals!B2</f>
        <v>0.38343718820007905</v>
      </c>
      <c r="C3" s="5">
        <f>Raw_Actuals!C4/Raw_Actuals!C2</f>
        <v>0.37817768109034722</v>
      </c>
      <c r="D3" s="5">
        <f>Raw_Actuals!D4/Raw_Actuals!D2</f>
        <v>0.38233247727810865</v>
      </c>
      <c r="E3" s="5">
        <f>Raw_Actuals!E4/Raw_Actuals!E2</f>
        <v>0.41779359625167778</v>
      </c>
      <c r="F3" s="5">
        <f>Raw_Actuals!F4/Raw_Actuals!F2</f>
        <v>0.43309630561360085</v>
      </c>
      <c r="G3" s="5">
        <f>Raw_Actuals!G4/Raw_Actuals!G2</f>
        <v>0.44131129577207562</v>
      </c>
      <c r="H3" s="5">
        <f>Raw_Actuals!H4/Raw_Actuals!H2</f>
        <v>0.45448557194835104</v>
      </c>
      <c r="I3" s="5">
        <f>Raw_Actuals!I4/Raw_Actuals!I2</f>
        <v>0.44638715204521334</v>
      </c>
    </row>
    <row r="4" spans="1:10">
      <c r="A4" t="s">
        <v>8</v>
      </c>
      <c r="B4" s="5">
        <f>Raw_Actuals!B6/Raw_Actuals!B2</f>
        <v>0.26694026619477024</v>
      </c>
      <c r="C4" s="5">
        <f>Raw_Actuals!C6/Raw_Actuals!C2</f>
        <v>0.24572017188496928</v>
      </c>
      <c r="D4" s="5">
        <f>Raw_Actuals!D6/Raw_Actuals!D2</f>
        <v>0.24147314354406862</v>
      </c>
      <c r="E4" s="5">
        <f>Raw_Actuals!E6/Raw_Actuals!E2</f>
        <v>0.29782377527561593</v>
      </c>
      <c r="F4" s="5">
        <f>Raw_Actuals!F6/Raw_Actuals!F2</f>
        <v>0.30288744395528594</v>
      </c>
      <c r="G4" s="5">
        <f>Raw_Actuals!G6/Raw_Actuals!G2</f>
        <v>0.29705310669606166</v>
      </c>
      <c r="H4" s="5">
        <f>Raw_Actuals!H6/Raw_Actuals!H2</f>
        <v>0.29593130758837455</v>
      </c>
      <c r="I4" s="5">
        <f>Raw_Actuals!I6/Raw_Actuals!I2</f>
        <v>0.29491477744958894</v>
      </c>
    </row>
    <row r="5" spans="1:10">
      <c r="A5" t="s">
        <v>9</v>
      </c>
      <c r="B5" s="5">
        <f>Raw_Actuals!B7/Raw_Actuals!B2</f>
        <v>0.22414202074587247</v>
      </c>
      <c r="C5" s="5">
        <f>Raw_Actuals!C7/Raw_Actuals!C2</f>
        <v>0.21238094505984456</v>
      </c>
      <c r="D5" s="5">
        <f>Raw_Actuals!D7/Raw_Actuals!D2</f>
        <v>0.20913611278072236</v>
      </c>
      <c r="E5" s="5">
        <f>Raw_Actuals!E7/Raw_Actuals!E2</f>
        <v>0.25881793355694238</v>
      </c>
      <c r="F5" s="5">
        <f>Raw_Actuals!F7/Raw_Actuals!F2</f>
        <v>0.25309640705199732</v>
      </c>
      <c r="G5" s="5">
        <f>Raw_Actuals!G7/Raw_Actuals!G2</f>
        <v>0.25307538776628358</v>
      </c>
      <c r="H5" s="5">
        <f>Raw_Actuals!H7/Raw_Actuals!H2</f>
        <v>0.25406960008091223</v>
      </c>
      <c r="I5" s="5">
        <f>Raw_Actuals!I7/Raw_Actuals!I2</f>
        <v>0.25829912923395604</v>
      </c>
    </row>
    <row r="6" spans="1:10">
      <c r="A6" t="s">
        <v>22</v>
      </c>
      <c r="B6" s="5">
        <f>Raw_Actuals!B10/Raw_Actuals!B2</f>
        <v>0.24142397258984544</v>
      </c>
      <c r="C6" s="5">
        <f>Raw_Actuals!C10/Raw_Actuals!C2</f>
        <v>0.22637158209505945</v>
      </c>
      <c r="D6" s="5">
        <f>Raw_Actuals!D10/Raw_Actuals!D2</f>
        <v>0.26725315556526968</v>
      </c>
      <c r="E6" s="5">
        <f>Raw_Actuals!E10/Raw_Actuals!E2</f>
        <v>0.25409699385211731</v>
      </c>
      <c r="F6" s="5">
        <f>Raw_Actuals!F10/Raw_Actuals!F2</f>
        <v>0.28261498042238947</v>
      </c>
      <c r="G6" s="5">
        <f>Raw_Actuals!G10/Raw_Actuals!G2</f>
        <v>0.25981710737440805</v>
      </c>
      <c r="H6" s="5">
        <f>Raw_Actuals!H10/Raw_Actuals!H2</f>
        <v>0.25878170034984166</v>
      </c>
      <c r="I6" s="5">
        <f>Raw_Actuals!I10/Raw_Actuals!I2</f>
        <v>0.26016596979809992</v>
      </c>
    </row>
    <row r="7" spans="1:10">
      <c r="A7" t="s">
        <v>74</v>
      </c>
      <c r="B7" s="5">
        <f>Raw_Actuals!B8/Raw_Actuals!B7</f>
        <v>1.3007340713241839</v>
      </c>
      <c r="C7" s="5">
        <f>Raw_Actuals!C8/Raw_Actuals!C7</f>
        <v>1.2558093238743304</v>
      </c>
      <c r="D7" s="5">
        <f>Raw_Actuals!D8/Raw_Actuals!D7</f>
        <v>1.405201093867029</v>
      </c>
      <c r="E7" s="5">
        <f>Raw_Actuals!E8/Raw_Actuals!E7</f>
        <v>1.0988381918039714</v>
      </c>
      <c r="F7" s="5">
        <f>Raw_Actuals!F8/Raw_Actuals!F7</f>
        <v>1.2239211246154926</v>
      </c>
      <c r="G7" s="5">
        <f>Raw_Actuals!G8/Raw_Actuals!G7</f>
        <v>1.1396185567010308</v>
      </c>
      <c r="H7" s="5">
        <f>Raw_Actuals!H8/Raw_Actuals!H7</f>
        <v>1.1304072675308767</v>
      </c>
      <c r="I7" s="5">
        <f>Raw_Actuals!I8/Raw_Actuals!I7</f>
        <v>1.1209061027286049</v>
      </c>
    </row>
    <row r="8" spans="1:10">
      <c r="A8" t="s">
        <v>23</v>
      </c>
      <c r="B8" t="s">
        <v>27</v>
      </c>
      <c r="C8" s="5">
        <f>(Raw_Actuals!B11-Raw_Actuals!C11)/Raw_Actuals!B11</f>
        <v>0.10335056242945793</v>
      </c>
      <c r="D8" s="5">
        <f>(Raw_Actuals!C11-Raw_Actuals!D11)/Raw_Actuals!C11</f>
        <v>3.77207062600321E-2</v>
      </c>
      <c r="E8" s="5">
        <f>(Raw_Actuals!D11-Raw_Actuals!E11)/Raw_Actuals!D11</f>
        <v>3.9511684115151109E-2</v>
      </c>
      <c r="F8" s="5">
        <f>(Raw_Actuals!E11-Raw_Actuals!F11)/Raw_Actuals!E11</f>
        <v>2.9425171789539354E-2</v>
      </c>
      <c r="G8" s="5">
        <f>(Raw_Actuals!F11-Raw_Actuals!G11)/Raw_Actuals!F11</f>
        <v>2.4672490383967058E-2</v>
      </c>
      <c r="H8" s="5">
        <f>(Raw_Actuals!G11-Raw_Actuals!H11)/Raw_Actuals!G11</f>
        <v>2.7925163766238603E-2</v>
      </c>
      <c r="I8" s="5">
        <f>(Raw_Actuals!H11-Raw_Actuals!I11)/Raw_Actuals!H11</f>
        <v>2.2457923726680314E-2</v>
      </c>
    </row>
    <row r="9" spans="1:10">
      <c r="A9" t="s">
        <v>73</v>
      </c>
      <c r="B9" s="5">
        <f>Raw_Actuals!B13/Raw_Actuals!B7</f>
        <v>1.2218508004233088</v>
      </c>
      <c r="C9" s="5">
        <f>Raw_Actuals!C13/Raw_Actuals!C7</f>
        <v>1.2106739539597511</v>
      </c>
      <c r="D9" s="5">
        <f>Raw_Actuals!D13/Raw_Actuals!D7</f>
        <v>1.2603508038529201</v>
      </c>
      <c r="E9" s="5">
        <f>Raw_Actuals!E13/Raw_Actuals!E7</f>
        <v>0.90336924376848327</v>
      </c>
      <c r="F9" s="5">
        <f>Raw_Actuals!F13/Raw_Actuals!F7</f>
        <v>0.8957846958508261</v>
      </c>
      <c r="G9" s="5">
        <f>Raw_Actuals!G13/Raw_Actuals!G7</f>
        <v>0.79948453608247427</v>
      </c>
      <c r="H9" s="5">
        <f>Raw_Actuals!H13/Raw_Actuals!H7</f>
        <v>0.79156884760641011</v>
      </c>
      <c r="I9" s="5">
        <f>Raw_Actuals!I13/Raw_Actuals!I7</f>
        <v>0.7852362282681874</v>
      </c>
      <c r="J9" s="5"/>
    </row>
    <row r="10" spans="1:10">
      <c r="A10" t="s">
        <v>25</v>
      </c>
      <c r="B10" s="5">
        <f>Raw_Actuals!B14/Raw_Actuals!B2</f>
        <v>0.14002522637850864</v>
      </c>
      <c r="C10" s="5">
        <f>Raw_Actuals!C14/Raw_Actuals!C2</f>
        <v>0.17792323598822327</v>
      </c>
      <c r="D10" s="5">
        <f>Raw_Actuals!D14/Raw_Actuals!D2</f>
        <v>0.19586543540425841</v>
      </c>
      <c r="E10" s="5">
        <f>Raw_Actuals!E14/Raw_Actuals!E2</f>
        <v>0.18704707545029345</v>
      </c>
      <c r="F10" s="5">
        <f>Raw_Actuals!F14/Raw_Actuals!F2</f>
        <v>0.19813201192915542</v>
      </c>
      <c r="G10" s="5">
        <f>Raw_Actuals!G14/Raw_Actuals!G2</f>
        <v>0.222288897295746</v>
      </c>
      <c r="H10" s="5">
        <f>Raw_Actuals!H14/Raw_Actuals!H2</f>
        <v>0.23417867599577805</v>
      </c>
      <c r="I10" s="5">
        <f>Raw_Actuals!I14/Raw_Actuals!I2</f>
        <v>0.24510593680872556</v>
      </c>
    </row>
    <row r="11" spans="1:10">
      <c r="A11" t="s">
        <v>26</v>
      </c>
      <c r="B11" s="5">
        <f>Raw_Actuals!B15/Raw_Actuals!B2</f>
        <v>0.85997477362149133</v>
      </c>
      <c r="C11" s="5">
        <f>Raw_Actuals!C15/Raw_Actuals!C2</f>
        <v>0.82207676401177676</v>
      </c>
      <c r="D11" s="5">
        <f>Raw_Actuals!D15/Raw_Actuals!D2</f>
        <v>0.80413456459574162</v>
      </c>
      <c r="E11" s="5">
        <f>Raw_Actuals!E15/Raw_Actuals!E2</f>
        <v>0.81295292454970658</v>
      </c>
      <c r="F11" s="5">
        <f>Raw_Actuals!F15/Raw_Actuals!F2</f>
        <v>0.80186798807084458</v>
      </c>
      <c r="G11" s="5">
        <f>Raw_Actuals!G15/Raw_Actuals!G2</f>
        <v>0.77771110270425403</v>
      </c>
      <c r="H11" s="5">
        <f>Raw_Actuals!H15/Raw_Actuals!H2</f>
        <v>0.76582132400422198</v>
      </c>
      <c r="I11" s="5">
        <f>Raw_Actuals!I15/Raw_Actuals!I2</f>
        <v>0.75490173513879832</v>
      </c>
    </row>
    <row r="12" spans="1:10">
      <c r="A12" t="s">
        <v>71</v>
      </c>
      <c r="B12" s="10">
        <f>Raw_Actuals!B7/(Raw_Actuals!B12/1000000)</f>
        <v>2.9764851126245446</v>
      </c>
      <c r="C12" s="10">
        <f>Raw_Actuals!C7/(Raw_Actuals!C12/1000000)</f>
        <v>2.9916595632618836</v>
      </c>
      <c r="D12" s="10">
        <f>Raw_Actuals!D7/(Raw_Actuals!D12/1000000)</f>
        <v>3.3568705834035373</v>
      </c>
      <c r="E12" s="10">
        <f>Raw_Actuals!E7/(Raw_Actuals!E12/1000000)</f>
        <v>5.6140204408927188</v>
      </c>
      <c r="F12" s="10">
        <f>Raw_Actuals!F7/(Raw_Actuals!F12/1000000)</f>
        <v>6.1546144376377772</v>
      </c>
      <c r="G12" s="10">
        <f>Raw_Actuals!G7/(Raw_Actuals!G12/1000000)</f>
        <v>6.1343691183969282</v>
      </c>
      <c r="H12" s="10">
        <f>Raw_Actuals!H7/(Raw_Actuals!H12/1000000)</f>
        <v>6.3687187154651239</v>
      </c>
      <c r="I12" s="10">
        <f>Raw_Actuals!I7/(Raw_Actuals!I12/1000000)</f>
        <v>6.724186139404833</v>
      </c>
    </row>
    <row r="13" spans="1:10">
      <c r="A13" t="s">
        <v>72</v>
      </c>
      <c r="B13" s="10">
        <f>Raw_Actuals!B10/(Raw_Actuals!B12/1000000)</f>
        <v>3.2059801096336096</v>
      </c>
      <c r="C13" s="10">
        <f>Raw_Actuals!C10/(Raw_Actuals!C12/1000000)</f>
        <v>3.1887357325516126</v>
      </c>
      <c r="D13" s="10">
        <f>Raw_Actuals!D10/(Raw_Actuals!D12/1000000)</f>
        <v>4.2897146949434868</v>
      </c>
      <c r="E13" s="10">
        <f>Raw_Actuals!E10/(Raw_Actuals!E12/1000000)</f>
        <v>5.5116185260065578</v>
      </c>
      <c r="F13" s="10">
        <f>Raw_Actuals!F10/(Raw_Actuals!F12/1000000)</f>
        <v>6.8724256462598001</v>
      </c>
      <c r="G13" s="10">
        <f>Raw_Actuals!G10/(Raw_Actuals!G12/1000000)</f>
        <v>6.2977836524375226</v>
      </c>
      <c r="H13" s="10">
        <f>Raw_Actuals!H10/(Raw_Actuals!H12/1000000)</f>
        <v>6.4868361177923681</v>
      </c>
      <c r="I13" s="10">
        <f>Raw_Actuals!I10/(Raw_Actuals!I12/1000000)</f>
        <v>6.772784767991479</v>
      </c>
    </row>
    <row r="17" spans="1:2">
      <c r="B17" t="s">
        <v>29</v>
      </c>
    </row>
    <row r="18" spans="1:2">
      <c r="A18" t="s">
        <v>28</v>
      </c>
      <c r="B18" s="5">
        <f>(Raw_Actuals!I2/Raw_Actuals!B2)^(1/7)-1</f>
        <v>5.6816026997771552E-2</v>
      </c>
    </row>
    <row r="19" spans="1:2">
      <c r="A19" t="s">
        <v>21</v>
      </c>
      <c r="B19" s="5">
        <f>(Raw_Actuals!I7/Raw_Actuals!B7)^(1/7)-1</f>
        <v>7.8448329811405593E-2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831A-E4D4-4B9E-B5E8-F64C946E73E8}">
  <dimension ref="A1:C24"/>
  <sheetViews>
    <sheetView tabSelected="1" topLeftCell="A13" workbookViewId="0">
      <selection activeCell="A17" sqref="A17:C24"/>
    </sheetView>
  </sheetViews>
  <sheetFormatPr defaultRowHeight="15"/>
  <cols>
    <col min="1" max="1" width="15.42578125" customWidth="1"/>
    <col min="2" max="2" width="14.7109375" customWidth="1"/>
    <col min="3" max="3" width="14.5703125" customWidth="1"/>
  </cols>
  <sheetData>
    <row r="1" spans="1:3">
      <c r="A1" t="s">
        <v>102</v>
      </c>
      <c r="B1" t="s">
        <v>104</v>
      </c>
      <c r="C1" t="s">
        <v>103</v>
      </c>
    </row>
    <row r="2" spans="1:3">
      <c r="A2" s="14">
        <v>2019</v>
      </c>
      <c r="B2" t="s">
        <v>105</v>
      </c>
      <c r="C2">
        <v>-2.0400000000000001E-2</v>
      </c>
    </row>
    <row r="3" spans="1:3">
      <c r="A3" s="14">
        <v>2020</v>
      </c>
      <c r="B3" t="s">
        <v>105</v>
      </c>
      <c r="C3">
        <v>5.5100000000000003E-2</v>
      </c>
    </row>
    <row r="4" spans="1:3">
      <c r="A4" s="14">
        <v>2021</v>
      </c>
      <c r="B4" t="s">
        <v>105</v>
      </c>
      <c r="C4">
        <v>0.33260000000000001</v>
      </c>
    </row>
    <row r="5" spans="1:3">
      <c r="A5" s="14">
        <v>2022</v>
      </c>
      <c r="B5" t="s">
        <v>105</v>
      </c>
      <c r="C5">
        <v>7.7899999999999997E-2</v>
      </c>
    </row>
    <row r="6" spans="1:3">
      <c r="A6" s="14">
        <v>2023</v>
      </c>
      <c r="B6" t="s">
        <v>105</v>
      </c>
      <c r="C6">
        <v>-2.8000000000000001E-2</v>
      </c>
    </row>
    <row r="7" spans="1:3">
      <c r="A7" s="14">
        <v>2024</v>
      </c>
      <c r="B7" t="s">
        <v>105</v>
      </c>
      <c r="C7">
        <v>6.0000000000000001E-3</v>
      </c>
    </row>
    <row r="8" spans="1:3">
      <c r="A8" s="14">
        <v>2025</v>
      </c>
      <c r="B8" t="s">
        <v>105</v>
      </c>
      <c r="C8">
        <v>1.41E-2</v>
      </c>
    </row>
    <row r="9" spans="1:3">
      <c r="A9" s="14">
        <v>2018</v>
      </c>
      <c r="B9" t="s">
        <v>6</v>
      </c>
      <c r="C9">
        <v>0.38340000000000002</v>
      </c>
    </row>
    <row r="10" spans="1:3">
      <c r="A10" s="14">
        <v>2019</v>
      </c>
      <c r="B10" t="s">
        <v>6</v>
      </c>
      <c r="C10">
        <v>0.37819999999999998</v>
      </c>
    </row>
    <row r="11" spans="1:3">
      <c r="A11" s="14">
        <v>2020</v>
      </c>
      <c r="B11" t="s">
        <v>6</v>
      </c>
      <c r="C11">
        <v>0.38229999999999997</v>
      </c>
    </row>
    <row r="12" spans="1:3">
      <c r="A12" s="14">
        <v>2021</v>
      </c>
      <c r="B12" t="s">
        <v>6</v>
      </c>
      <c r="C12">
        <v>0.4178</v>
      </c>
    </row>
    <row r="13" spans="1:3">
      <c r="A13" s="14">
        <v>2022</v>
      </c>
      <c r="B13" t="s">
        <v>6</v>
      </c>
      <c r="C13">
        <v>0.43309999999999998</v>
      </c>
    </row>
    <row r="14" spans="1:3">
      <c r="A14" s="14">
        <v>2023</v>
      </c>
      <c r="B14" t="s">
        <v>6</v>
      </c>
      <c r="C14">
        <v>0.44130000000000003</v>
      </c>
    </row>
    <row r="15" spans="1:3">
      <c r="A15" s="14">
        <v>2024</v>
      </c>
      <c r="B15" t="s">
        <v>6</v>
      </c>
      <c r="C15">
        <v>0.45450000000000002</v>
      </c>
    </row>
    <row r="16" spans="1:3">
      <c r="A16" s="14">
        <v>2025</v>
      </c>
      <c r="B16" t="s">
        <v>6</v>
      </c>
      <c r="C16">
        <v>0.44640000000000002</v>
      </c>
    </row>
    <row r="17" spans="1:3">
      <c r="A17" s="14">
        <v>2018</v>
      </c>
      <c r="B17" t="s">
        <v>8</v>
      </c>
      <c r="C17">
        <v>0.26690000000000003</v>
      </c>
    </row>
    <row r="18" spans="1:3">
      <c r="A18" s="14">
        <v>2019</v>
      </c>
      <c r="B18" t="s">
        <v>8</v>
      </c>
      <c r="C18">
        <v>0.2457</v>
      </c>
    </row>
    <row r="19" spans="1:3">
      <c r="A19" s="14">
        <v>2020</v>
      </c>
      <c r="B19" t="s">
        <v>8</v>
      </c>
      <c r="C19">
        <v>0.24149999999999999</v>
      </c>
    </row>
    <row r="20" spans="1:3">
      <c r="A20" s="14">
        <v>2021</v>
      </c>
      <c r="B20" t="s">
        <v>8</v>
      </c>
      <c r="C20">
        <v>0.29780000000000001</v>
      </c>
    </row>
    <row r="21" spans="1:3">
      <c r="A21" s="14">
        <v>2022</v>
      </c>
      <c r="B21" t="s">
        <v>8</v>
      </c>
      <c r="C21">
        <v>0.3029</v>
      </c>
    </row>
    <row r="22" spans="1:3">
      <c r="A22" s="14">
        <v>2023</v>
      </c>
      <c r="B22" t="s">
        <v>8</v>
      </c>
      <c r="C22">
        <v>0.29709999999999998</v>
      </c>
    </row>
    <row r="23" spans="1:3">
      <c r="A23" s="14">
        <v>2024</v>
      </c>
      <c r="B23" t="s">
        <v>8</v>
      </c>
      <c r="C23">
        <v>0.2959</v>
      </c>
    </row>
    <row r="24" spans="1:3">
      <c r="A24" s="14">
        <v>2025</v>
      </c>
      <c r="B24" t="s">
        <v>8</v>
      </c>
      <c r="C24">
        <v>0.2949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E8F59-B397-4F59-BB8E-C0B514D98ADA}">
  <dimension ref="A1:C6"/>
  <sheetViews>
    <sheetView topLeftCell="A3" zoomScale="63" zoomScaleNormal="63" workbookViewId="0">
      <selection activeCell="A27" sqref="A27:N734"/>
    </sheetView>
  </sheetViews>
  <sheetFormatPr defaultRowHeight="15"/>
  <cols>
    <col min="1" max="1" width="33.5703125" customWidth="1"/>
    <col min="2" max="2" width="42.28515625" customWidth="1"/>
    <col min="3" max="3" width="35.28515625" customWidth="1"/>
  </cols>
  <sheetData>
    <row r="1" spans="1:3">
      <c r="A1" t="s">
        <v>31</v>
      </c>
      <c r="B1" s="7" t="s">
        <v>32</v>
      </c>
      <c r="C1" t="s">
        <v>33</v>
      </c>
    </row>
    <row r="2" spans="1:3" ht="165">
      <c r="A2" t="s">
        <v>30</v>
      </c>
      <c r="B2" s="6" t="s">
        <v>75</v>
      </c>
      <c r="C2" t="s">
        <v>34</v>
      </c>
    </row>
    <row r="3" spans="1:3" ht="120">
      <c r="A3" t="s">
        <v>41</v>
      </c>
      <c r="B3" s="6" t="s">
        <v>76</v>
      </c>
      <c r="C3" t="s">
        <v>35</v>
      </c>
    </row>
    <row r="4" spans="1:3" ht="135">
      <c r="A4" t="s">
        <v>36</v>
      </c>
      <c r="B4" s="6" t="s">
        <v>77</v>
      </c>
      <c r="C4" t="s">
        <v>37</v>
      </c>
    </row>
    <row r="5" spans="1:3" ht="120">
      <c r="A5" t="s">
        <v>38</v>
      </c>
      <c r="B5" s="6" t="s">
        <v>78</v>
      </c>
      <c r="C5" t="s">
        <v>39</v>
      </c>
    </row>
    <row r="6" spans="1:3" ht="105">
      <c r="A6" t="s">
        <v>40</v>
      </c>
      <c r="B6" s="6" t="s">
        <v>79</v>
      </c>
      <c r="C6" t="s">
        <v>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CD72F-CD25-4641-8067-99FB79D92082}">
  <dimension ref="A1:D14"/>
  <sheetViews>
    <sheetView topLeftCell="A8" zoomScale="67" zoomScaleNormal="67" workbookViewId="0">
      <selection activeCell="A32" sqref="A32:M645"/>
    </sheetView>
  </sheetViews>
  <sheetFormatPr defaultRowHeight="15"/>
  <cols>
    <col min="1" max="1" width="22" customWidth="1"/>
    <col min="2" max="2" width="23.28515625" customWidth="1"/>
    <col min="3" max="3" width="27" customWidth="1"/>
    <col min="4" max="4" width="26.140625" customWidth="1"/>
    <col min="5" max="5" width="23.28515625" customWidth="1"/>
  </cols>
  <sheetData>
    <row r="1" spans="1:4">
      <c r="A1" t="s">
        <v>42</v>
      </c>
      <c r="B1" t="s">
        <v>44</v>
      </c>
      <c r="C1" t="s">
        <v>43</v>
      </c>
      <c r="D1" t="s">
        <v>45</v>
      </c>
    </row>
    <row r="2" spans="1:4" ht="300">
      <c r="A2" t="s">
        <v>46</v>
      </c>
      <c r="B2" s="2">
        <v>295193</v>
      </c>
      <c r="C2" s="6" t="s">
        <v>88</v>
      </c>
      <c r="D2" s="8">
        <f xml:space="preserve"> B2 * (1 + 1%)</f>
        <v>298144.93</v>
      </c>
    </row>
    <row r="3" spans="1:4" ht="255">
      <c r="A3" t="s">
        <v>47</v>
      </c>
      <c r="B3" s="2">
        <v>95845</v>
      </c>
      <c r="C3" s="6" t="s">
        <v>89</v>
      </c>
      <c r="D3" s="2">
        <f xml:space="preserve"> B3 * (1 + 8%)</f>
        <v>103512.6</v>
      </c>
    </row>
    <row r="4" spans="1:4" ht="75">
      <c r="A4" t="s">
        <v>48</v>
      </c>
      <c r="B4" s="2">
        <v>391035</v>
      </c>
      <c r="C4" s="6" t="s">
        <v>54</v>
      </c>
      <c r="D4" s="8">
        <f xml:space="preserve"> D2 + D3</f>
        <v>401657.53</v>
      </c>
    </row>
    <row r="5" spans="1:4" ht="210">
      <c r="A5" t="s">
        <v>49</v>
      </c>
      <c r="B5" s="5">
        <v>0.44640000000000002</v>
      </c>
      <c r="C5" s="6" t="s">
        <v>84</v>
      </c>
      <c r="D5" s="9">
        <v>0.44800000000000001</v>
      </c>
    </row>
    <row r="6" spans="1:4" ht="180">
      <c r="A6" t="s">
        <v>50</v>
      </c>
      <c r="B6" s="5">
        <v>0.2949</v>
      </c>
      <c r="C6" s="6" t="s">
        <v>85</v>
      </c>
      <c r="D6" s="9">
        <v>0.29599999999999999</v>
      </c>
    </row>
    <row r="7" spans="1:4" ht="120">
      <c r="A7" t="s">
        <v>51</v>
      </c>
      <c r="B7" s="5">
        <v>0.25829999999999997</v>
      </c>
      <c r="C7" s="6" t="s">
        <v>91</v>
      </c>
      <c r="D7" s="9">
        <v>0.25900000000000001</v>
      </c>
    </row>
    <row r="8" spans="1:4" ht="210">
      <c r="A8" t="s">
        <v>52</v>
      </c>
      <c r="B8" s="2">
        <v>113216</v>
      </c>
      <c r="C8" s="6" t="s">
        <v>86</v>
      </c>
      <c r="D8" s="8">
        <f>('2026_Forecast'!D4*'2026_Forecast'!D7)*112%</f>
        <v>116512.81630240002</v>
      </c>
    </row>
    <row r="9" spans="1:4" ht="180">
      <c r="A9" t="s">
        <v>5</v>
      </c>
      <c r="B9" s="2">
        <v>11482</v>
      </c>
      <c r="C9" s="6" t="s">
        <v>87</v>
      </c>
      <c r="D9" s="2">
        <f xml:space="preserve"> B9 * (1 + 5%)</f>
        <v>12056.1</v>
      </c>
    </row>
    <row r="10" spans="1:4" ht="135">
      <c r="A10" t="s">
        <v>53</v>
      </c>
      <c r="B10" s="2">
        <v>101734</v>
      </c>
      <c r="C10" s="6" t="s">
        <v>92</v>
      </c>
      <c r="D10" s="2">
        <f>D8-D9</f>
        <v>104456.71630240002</v>
      </c>
    </row>
    <row r="11" spans="1:4" ht="150">
      <c r="A11" t="s">
        <v>14</v>
      </c>
      <c r="B11" s="3">
        <v>79312</v>
      </c>
      <c r="C11" s="6" t="s">
        <v>90</v>
      </c>
      <c r="D11" s="3">
        <f>D10*78%</f>
        <v>81476.238715872023</v>
      </c>
    </row>
    <row r="12" spans="1:4" ht="45">
      <c r="A12" t="s">
        <v>7</v>
      </c>
      <c r="B12" s="3">
        <v>14766353000</v>
      </c>
      <c r="C12" s="6" t="s">
        <v>55</v>
      </c>
      <c r="D12" s="3">
        <f xml:space="preserve"> B12*(1-2.5%)</f>
        <v>14397194175</v>
      </c>
    </row>
    <row r="13" spans="1:4" ht="45">
      <c r="A13" t="s">
        <v>71</v>
      </c>
      <c r="B13" s="2">
        <v>6.72</v>
      </c>
      <c r="C13" s="6" t="s">
        <v>80</v>
      </c>
      <c r="D13">
        <v>7.15</v>
      </c>
    </row>
    <row r="14" spans="1:4" ht="150">
      <c r="A14" t="s">
        <v>93</v>
      </c>
      <c r="B14" t="s">
        <v>27</v>
      </c>
      <c r="C14" s="6" t="s">
        <v>94</v>
      </c>
      <c r="D14" t="s">
        <v>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3F5F0-8E85-4852-87C8-0E70A5E226C5}">
  <dimension ref="A1:B7"/>
  <sheetViews>
    <sheetView topLeftCell="A6" zoomScale="78" zoomScaleNormal="78" workbookViewId="0">
      <selection activeCell="F12" sqref="F12"/>
    </sheetView>
  </sheetViews>
  <sheetFormatPr defaultRowHeight="15"/>
  <cols>
    <col min="1" max="1" width="30.7109375" customWidth="1"/>
    <col min="2" max="2" width="45.140625" customWidth="1"/>
  </cols>
  <sheetData>
    <row r="1" spans="1:2">
      <c r="A1" s="12" t="s">
        <v>56</v>
      </c>
      <c r="B1" s="12" t="s">
        <v>57</v>
      </c>
    </row>
    <row r="2" spans="1:2" ht="135">
      <c r="A2" s="13" t="s">
        <v>58</v>
      </c>
      <c r="B2" s="13" t="s">
        <v>99</v>
      </c>
    </row>
    <row r="3" spans="1:2" ht="120">
      <c r="A3" s="13" t="s">
        <v>62</v>
      </c>
      <c r="B3" s="13" t="s">
        <v>95</v>
      </c>
    </row>
    <row r="4" spans="1:2" ht="120">
      <c r="A4" s="13" t="s">
        <v>59</v>
      </c>
      <c r="B4" s="13" t="s">
        <v>96</v>
      </c>
    </row>
    <row r="5" spans="1:2" ht="120">
      <c r="A5" s="13" t="s">
        <v>60</v>
      </c>
      <c r="B5" s="13" t="s">
        <v>97</v>
      </c>
    </row>
    <row r="6" spans="1:2" ht="150">
      <c r="A6" s="13" t="s">
        <v>61</v>
      </c>
      <c r="B6" s="13" t="s">
        <v>98</v>
      </c>
    </row>
    <row r="7" spans="1:2" ht="105">
      <c r="A7" t="s">
        <v>100</v>
      </c>
      <c r="B7" s="6" t="s">
        <v>101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12639-0E7D-40A8-93F4-CDE099E59A31}">
  <dimension ref="A1:D9"/>
  <sheetViews>
    <sheetView workbookViewId="0">
      <selection activeCell="A43" sqref="A43:T111"/>
    </sheetView>
  </sheetViews>
  <sheetFormatPr defaultRowHeight="15"/>
  <cols>
    <col min="1" max="1" width="24.85546875" customWidth="1"/>
    <col min="2" max="3" width="14.28515625" customWidth="1"/>
    <col min="4" max="4" width="11.7109375" customWidth="1"/>
  </cols>
  <sheetData>
    <row r="1" spans="1:4">
      <c r="A1" t="s">
        <v>42</v>
      </c>
      <c r="B1" t="s">
        <v>63</v>
      </c>
      <c r="C1" t="s">
        <v>64</v>
      </c>
      <c r="D1" t="s">
        <v>65</v>
      </c>
    </row>
    <row r="2" spans="1:4">
      <c r="A2" t="s">
        <v>66</v>
      </c>
      <c r="B2" s="9">
        <v>0.02</v>
      </c>
      <c r="C2" s="9">
        <v>2.7E-2</v>
      </c>
      <c r="D2" s="9">
        <v>0.04</v>
      </c>
    </row>
    <row r="3" spans="1:4">
      <c r="A3" t="s">
        <v>67</v>
      </c>
      <c r="B3" s="4">
        <v>0.05</v>
      </c>
      <c r="C3" s="4">
        <v>0.08</v>
      </c>
      <c r="D3" s="4">
        <v>0.11</v>
      </c>
    </row>
    <row r="4" spans="1:4">
      <c r="A4" t="s">
        <v>49</v>
      </c>
      <c r="B4" s="4">
        <v>0.442</v>
      </c>
      <c r="C4" s="4">
        <v>0.44800000000000001</v>
      </c>
      <c r="D4" s="4">
        <v>0.45500000000000002</v>
      </c>
    </row>
    <row r="5" spans="1:4">
      <c r="A5" t="s">
        <v>50</v>
      </c>
      <c r="B5" s="4">
        <v>0.28799999999999998</v>
      </c>
      <c r="C5" s="4">
        <v>0.29599999999999999</v>
      </c>
      <c r="D5" s="4">
        <v>0.30499999999999999</v>
      </c>
    </row>
    <row r="6" spans="1:4">
      <c r="A6" t="s">
        <v>81</v>
      </c>
      <c r="B6" s="1">
        <v>98</v>
      </c>
      <c r="C6" s="1">
        <v>104</v>
      </c>
      <c r="D6" s="1">
        <v>112</v>
      </c>
    </row>
    <row r="7" spans="1:4">
      <c r="A7" t="s">
        <v>82</v>
      </c>
      <c r="B7" s="1">
        <v>70</v>
      </c>
      <c r="C7" s="1">
        <v>81</v>
      </c>
      <c r="D7" s="1">
        <v>90</v>
      </c>
    </row>
    <row r="8" spans="1:4">
      <c r="A8" t="s">
        <v>83</v>
      </c>
      <c r="B8">
        <v>14.6</v>
      </c>
      <c r="C8">
        <v>14.4</v>
      </c>
      <c r="D8">
        <v>14.2</v>
      </c>
    </row>
    <row r="9" spans="1:4">
      <c r="A9" t="s">
        <v>71</v>
      </c>
      <c r="B9" s="10">
        <v>7</v>
      </c>
      <c r="C9" s="10">
        <v>7.15</v>
      </c>
      <c r="D9" s="10">
        <v>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90181E-30D7-4A9B-AD85-BC764707ED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Raw_Actuals</vt:lpstr>
      <vt:lpstr>Raw_Actuals_Long</vt:lpstr>
      <vt:lpstr>Historical_KPIs</vt:lpstr>
      <vt:lpstr>Historical_kpis_long</vt:lpstr>
      <vt:lpstr>Historical_Insights</vt:lpstr>
      <vt:lpstr>2026_Forecast</vt:lpstr>
      <vt:lpstr>Forecast_Summary</vt:lpstr>
      <vt:lpstr>Scenario_Analysis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Elnur Guliyev</dc:creator>
  <cp:lastModifiedBy>Ramzi Feyzullayev</cp:lastModifiedBy>
  <dcterms:created xsi:type="dcterms:W3CDTF">2026-02-17T16:50:16Z</dcterms:created>
  <dcterms:modified xsi:type="dcterms:W3CDTF">2026-02-26T21:23:32Z</dcterms:modified>
</cp:coreProperties>
</file>